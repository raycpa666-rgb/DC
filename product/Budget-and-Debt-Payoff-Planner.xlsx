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Budget" sheetId="2" state="visible" r:id="rId2"/>
    <sheet name="Debt Payoff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;&quot;-&quot;"/>
    <numFmt numFmtId="165" formatCode="0.0%;(0.0%);&quot;-&quot;"/>
    <numFmt numFmtId="166" formatCode="mmm yyyy"/>
  </numFmts>
  <fonts count="8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i val="1"/>
      <color rgb="00666666"/>
      <sz val="9"/>
    </font>
    <font>
      <name val="Arial"/>
      <i val="1"/>
      <color rgb="00666666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164" fontId="4" fillId="2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6" fillId="0" borderId="0" pivotButton="0" quotePrefix="0" xfId="0"/>
    <xf numFmtId="164" fontId="2" fillId="4" borderId="1" pivotButton="0" quotePrefix="0" xfId="0"/>
    <xf numFmtId="165" fontId="2" fillId="0" borderId="1" pivotButton="0" quotePrefix="0" xfId="0"/>
    <xf numFmtId="0" fontId="7" fillId="0" borderId="0" pivotButton="0" quotePrefix="0" xfId="0"/>
    <xf numFmtId="10" fontId="4" fillId="2" borderId="1" pivotButton="0" quotePrefix="0" xfId="0"/>
    <xf numFmtId="1" fontId="3" fillId="0" borderId="1" pivotButton="0" quotePrefix="0" xfId="0"/>
    <xf numFmtId="1" fontId="2" fillId="0" borderId="1" pivotButton="0" quotePrefix="0" xfId="0"/>
    <xf numFmtId="9" fontId="3" fillId="0" borderId="1" pivotButton="0" quotePrefix="0" xfId="0"/>
    <xf numFmtId="166" fontId="3" fillId="0" borderId="1" pivotButton="0" quotePrefix="0" xfId="0"/>
  </cellXfs>
  <cellStyles count="1">
    <cellStyle name="Normal" xfId="0" builtinId="0" hidden="0"/>
  </cellStyles>
  <dxfs count="2">
    <dxf>
      <font>
        <name val="Arial"/>
        <color rgb="00C00000"/>
      </font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Budget &amp; Debt Payoff Planner</t>
        </is>
      </c>
    </row>
    <row r="3">
      <c r="A3" s="2" t="inlineStr">
        <is>
          <t>How to use this planner</t>
        </is>
      </c>
    </row>
    <row r="4">
      <c r="A4" s="3" t="inlineStr">
        <is>
          <t>1. Yellow cells with blue text are yours to edit. Everything else calculates automatically.</t>
        </is>
      </c>
    </row>
    <row r="5">
      <c r="A5" s="3" t="inlineStr">
        <is>
          <t>2. The first row of each table holds example values - overwrite or delete them.</t>
        </is>
      </c>
    </row>
    <row r="6">
      <c r="A6" s="3" t="inlineStr">
        <is>
          <t>3. Budget tab: enter monthly income and planned vs. actual spending per category.</t>
        </is>
      </c>
    </row>
    <row r="7">
      <c r="A7" s="3" t="inlineStr">
        <is>
          <t>4. Debt Payoff tab: list each debt, its APR and minimum payment, then try extra payments</t>
        </is>
      </c>
    </row>
    <row r="8">
      <c r="A8" s="3" t="inlineStr">
        <is>
          <t xml:space="preserve">   to see how many months and how much interest you save.</t>
        </is>
      </c>
    </row>
    <row r="9">
      <c r="A9" s="3" t="inlineStr">
        <is>
          <t>5. Savings Goals tab: set a target and monthly contribution to get a finish date.</t>
        </is>
      </c>
    </row>
    <row r="10">
      <c r="A10" s="3" t="inlineStr"/>
    </row>
    <row r="11">
      <c r="A11" s="2" t="inlineStr">
        <is>
          <t>Colour key</t>
        </is>
      </c>
    </row>
    <row r="12">
      <c r="A12" s="4" t="inlineStr">
        <is>
          <t>Yellow fill / blue text = input</t>
        </is>
      </c>
    </row>
    <row r="13">
      <c r="A13" s="3" t="inlineStr">
        <is>
          <t>Black text = formula (do not overwrite)</t>
        </is>
      </c>
    </row>
    <row r="14">
      <c r="A14" s="3" t="inlineStr"/>
    </row>
    <row r="15">
      <c r="A15" s="2" t="inlineStr">
        <is>
          <t>Notes</t>
        </is>
      </c>
    </row>
    <row r="16">
      <c r="A16" s="3" t="inlineStr">
        <is>
          <t>Debt payoff math assumes a fixed APR, interest compounded monthly, and the same payment every month.</t>
        </is>
      </c>
    </row>
    <row r="17">
      <c r="A17" s="3" t="inlineStr">
        <is>
          <t>This is a planning tool, not financial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13" customWidth="1" min="5" max="5"/>
    <col width="3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Monthly Budget</t>
        </is>
      </c>
    </row>
    <row r="2">
      <c r="A2" s="2" t="inlineStr">
        <is>
          <t>Month:</t>
        </is>
      </c>
      <c r="B2" s="4" t="inlineStr">
        <is>
          <t>January 2027</t>
        </is>
      </c>
    </row>
    <row r="4">
      <c r="A4" s="5" t="inlineStr">
        <is>
          <t>Income source</t>
        </is>
      </c>
      <c r="B4" s="5" t="inlineStr">
        <is>
          <t>Amount ($/month)</t>
        </is>
      </c>
      <c r="G4" s="5" t="inlineStr">
        <is>
          <t>Summary</t>
        </is>
      </c>
      <c r="H4" s="5" t="inlineStr">
        <is>
          <t>Planned</t>
        </is>
      </c>
      <c r="I4" s="5" t="inlineStr">
        <is>
          <t>Actual</t>
        </is>
      </c>
    </row>
    <row r="5">
      <c r="A5" s="4" t="inlineStr">
        <is>
          <t>Salary (example)</t>
        </is>
      </c>
      <c r="B5" s="6" t="n">
        <v>3800</v>
      </c>
      <c r="G5" s="2" t="inlineStr">
        <is>
          <t>Income</t>
        </is>
      </c>
      <c r="H5" s="7">
        <f>$B$13</f>
        <v/>
      </c>
      <c r="I5" s="7">
        <f>$B$13</f>
        <v/>
      </c>
    </row>
    <row r="6">
      <c r="A6" s="4" t="inlineStr">
        <is>
          <t>Side income (example)</t>
        </is>
      </c>
      <c r="B6" s="6" t="n">
        <v>400</v>
      </c>
      <c r="G6" s="2" t="inlineStr">
        <is>
          <t>Expenses</t>
        </is>
      </c>
      <c r="H6" s="7">
        <f>B36</f>
        <v/>
      </c>
      <c r="I6" s="7">
        <f>C36</f>
        <v/>
      </c>
    </row>
    <row r="7">
      <c r="A7" s="4" t="n"/>
      <c r="B7" s="6" t="n"/>
      <c r="G7" s="2" t="inlineStr">
        <is>
          <t>Left over</t>
        </is>
      </c>
      <c r="H7" s="7">
        <f>H5-H6</f>
        <v/>
      </c>
      <c r="I7" s="7">
        <f>I5-I6</f>
        <v/>
      </c>
    </row>
    <row r="8">
      <c r="A8" s="4" t="n"/>
      <c r="B8" s="6" t="n"/>
      <c r="G8" s="2" t="inlineStr">
        <is>
          <t>Savings rate</t>
        </is>
      </c>
      <c r="H8" s="8">
        <f>IF(H5=0,"",SUMIF($A$16:$A$35,"Savings",$B$16:$B$35)/H5)</f>
        <v/>
      </c>
      <c r="I8" s="8">
        <f>IF(I5=0,"",SUMIF($A$16:$A$35,"Savings",$C$16:$C$35)/I5)</f>
        <v/>
      </c>
    </row>
    <row r="9">
      <c r="A9" s="4" t="n"/>
      <c r="B9" s="6" t="n"/>
      <c r="G9" s="9" t="inlineStr">
        <is>
          <t>Savings rate counts the row named exactly "Savings".</t>
        </is>
      </c>
    </row>
    <row r="10">
      <c r="A10" s="4" t="n"/>
      <c r="B10" s="6" t="n"/>
    </row>
    <row r="11">
      <c r="A11" s="4" t="n"/>
      <c r="B11" s="6" t="n"/>
    </row>
    <row r="12">
      <c r="A12" s="4" t="n"/>
      <c r="B12" s="6" t="n"/>
    </row>
    <row r="13">
      <c r="A13" s="2" t="inlineStr">
        <is>
          <t>Total income</t>
        </is>
      </c>
      <c r="B13" s="10">
        <f>SUM(B5:B12)</f>
        <v/>
      </c>
    </row>
    <row r="15">
      <c r="A15" s="5" t="inlineStr">
        <is>
          <t>Expense category</t>
        </is>
      </c>
      <c r="B15" s="5" t="inlineStr">
        <is>
          <t>Budgeted ($)</t>
        </is>
      </c>
      <c r="C15" s="5" t="inlineStr">
        <is>
          <t>Actual ($)</t>
        </is>
      </c>
      <c r="D15" s="5" t="inlineStr">
        <is>
          <t>Difference ($)</t>
        </is>
      </c>
      <c r="E15" s="5" t="inlineStr">
        <is>
          <t>% of income</t>
        </is>
      </c>
    </row>
    <row r="16">
      <c r="A16" s="4" t="inlineStr">
        <is>
          <t>Rent / mortgage</t>
        </is>
      </c>
      <c r="B16" s="6" t="n">
        <v>1400</v>
      </c>
      <c r="C16" s="6" t="n">
        <v>1400</v>
      </c>
      <c r="D16" s="7">
        <f>IF(AND(B16="",C16=""),"",B16-C16)</f>
        <v/>
      </c>
      <c r="E16" s="8">
        <f>IF(OR(C16="",$B$13=0),"",C16/$B$13)</f>
        <v/>
      </c>
    </row>
    <row r="17">
      <c r="A17" s="4" t="inlineStr">
        <is>
          <t>Utilities</t>
        </is>
      </c>
      <c r="B17" s="6" t="n">
        <v>180</v>
      </c>
      <c r="C17" s="6" t="n">
        <v>205</v>
      </c>
      <c r="D17" s="7">
        <f>IF(AND(B17="",C17=""),"",B17-C17)</f>
        <v/>
      </c>
      <c r="E17" s="8">
        <f>IF(OR(C17="",$B$13=0),"",C17/$B$13)</f>
        <v/>
      </c>
    </row>
    <row r="18">
      <c r="A18" s="4" t="inlineStr">
        <is>
          <t>Groceries</t>
        </is>
      </c>
      <c r="B18" s="6" t="n">
        <v>450</v>
      </c>
      <c r="C18" s="6" t="n">
        <v>510</v>
      </c>
      <c r="D18" s="7">
        <f>IF(AND(B18="",C18=""),"",B18-C18)</f>
        <v/>
      </c>
      <c r="E18" s="8">
        <f>IF(OR(C18="",$B$13=0),"",C18/$B$13)</f>
        <v/>
      </c>
    </row>
    <row r="19">
      <c r="A19" s="4" t="inlineStr">
        <is>
          <t>Transport</t>
        </is>
      </c>
      <c r="B19" s="6" t="n">
        <v>220</v>
      </c>
      <c r="C19" s="6" t="n">
        <v>190</v>
      </c>
      <c r="D19" s="7">
        <f>IF(AND(B19="",C19=""),"",B19-C19)</f>
        <v/>
      </c>
      <c r="E19" s="8">
        <f>IF(OR(C19="",$B$13=0),"",C19/$B$13)</f>
        <v/>
      </c>
    </row>
    <row r="20">
      <c r="A20" s="4" t="inlineStr">
        <is>
          <t>Insurance</t>
        </is>
      </c>
      <c r="B20" s="6" t="n">
        <v>160</v>
      </c>
      <c r="C20" s="6" t="n">
        <v>160</v>
      </c>
      <c r="D20" s="7">
        <f>IF(AND(B20="",C20=""),"",B20-C20)</f>
        <v/>
      </c>
      <c r="E20" s="8">
        <f>IF(OR(C20="",$B$13=0),"",C20/$B$13)</f>
        <v/>
      </c>
    </row>
    <row r="21">
      <c r="A21" s="4" t="inlineStr">
        <is>
          <t>Phone &amp; internet</t>
        </is>
      </c>
      <c r="B21" s="6" t="n">
        <v>110</v>
      </c>
      <c r="C21" s="6" t="n">
        <v>110</v>
      </c>
      <c r="D21" s="7">
        <f>IF(AND(B21="",C21=""),"",B21-C21)</f>
        <v/>
      </c>
      <c r="E21" s="8">
        <f>IF(OR(C21="",$B$13=0),"",C21/$B$13)</f>
        <v/>
      </c>
    </row>
    <row r="22">
      <c r="A22" s="4" t="inlineStr">
        <is>
          <t>Debt payments</t>
        </is>
      </c>
      <c r="B22" s="6" t="n">
        <v>600</v>
      </c>
      <c r="C22" s="6" t="n">
        <v>600</v>
      </c>
      <c r="D22" s="7">
        <f>IF(AND(B22="",C22=""),"",B22-C22)</f>
        <v/>
      </c>
      <c r="E22" s="8">
        <f>IF(OR(C22="",$B$13=0),"",C22/$B$13)</f>
        <v/>
      </c>
    </row>
    <row r="23">
      <c r="A23" s="4" t="inlineStr">
        <is>
          <t>Eating out</t>
        </is>
      </c>
      <c r="B23" s="6" t="n">
        <v>150</v>
      </c>
      <c r="C23" s="6" t="n">
        <v>240</v>
      </c>
      <c r="D23" s="7">
        <f>IF(AND(B23="",C23=""),"",B23-C23)</f>
        <v/>
      </c>
      <c r="E23" s="8">
        <f>IF(OR(C23="",$B$13=0),"",C23/$B$13)</f>
        <v/>
      </c>
    </row>
    <row r="24">
      <c r="A24" s="4" t="inlineStr">
        <is>
          <t>Subscriptions</t>
        </is>
      </c>
      <c r="B24" s="6" t="n">
        <v>45</v>
      </c>
      <c r="C24" s="6" t="n">
        <v>45</v>
      </c>
      <c r="D24" s="7">
        <f>IF(AND(B24="",C24=""),"",B24-C24)</f>
        <v/>
      </c>
      <c r="E24" s="8">
        <f>IF(OR(C24="",$B$13=0),"",C24/$B$13)</f>
        <v/>
      </c>
    </row>
    <row r="25">
      <c r="A25" s="4" t="inlineStr">
        <is>
          <t>Savings</t>
        </is>
      </c>
      <c r="B25" s="6" t="n">
        <v>500</v>
      </c>
      <c r="C25" s="6" t="n">
        <v>400</v>
      </c>
      <c r="D25" s="7">
        <f>IF(AND(B25="",C25=""),"",B25-C25)</f>
        <v/>
      </c>
      <c r="E25" s="8">
        <f>IF(OR(C25="",$B$13=0),"",C25/$B$13)</f>
        <v/>
      </c>
    </row>
    <row r="26">
      <c r="A26" s="4" t="inlineStr">
        <is>
          <t>Personal / fun</t>
        </is>
      </c>
      <c r="B26" s="6" t="n">
        <v>200</v>
      </c>
      <c r="C26" s="6" t="n">
        <v>260</v>
      </c>
      <c r="D26" s="7">
        <f>IF(AND(B26="",C26=""),"",B26-C26)</f>
        <v/>
      </c>
      <c r="E26" s="8">
        <f>IF(OR(C26="",$B$13=0),"",C26/$B$13)</f>
        <v/>
      </c>
    </row>
    <row r="27">
      <c r="A27" s="4" t="inlineStr">
        <is>
          <t>Other</t>
        </is>
      </c>
      <c r="B27" s="6" t="n">
        <v>100</v>
      </c>
      <c r="C27" s="6" t="n">
        <v>80</v>
      </c>
      <c r="D27" s="7">
        <f>IF(AND(B27="",C27=""),"",B27-C27)</f>
        <v/>
      </c>
      <c r="E27" s="8">
        <f>IF(OR(C27="",$B$13=0),"",C27/$B$13)</f>
        <v/>
      </c>
    </row>
    <row r="28">
      <c r="A28" s="4" t="n"/>
      <c r="B28" s="6" t="n"/>
      <c r="C28" s="6" t="n"/>
      <c r="D28" s="7">
        <f>IF(AND(B28="",C28=""),"",B28-C28)</f>
        <v/>
      </c>
      <c r="E28" s="8">
        <f>IF(OR(C28="",$B$13=0),"",C28/$B$13)</f>
        <v/>
      </c>
    </row>
    <row r="29">
      <c r="A29" s="4" t="n"/>
      <c r="B29" s="6" t="n"/>
      <c r="C29" s="6" t="n"/>
      <c r="D29" s="7">
        <f>IF(AND(B29="",C29=""),"",B29-C29)</f>
        <v/>
      </c>
      <c r="E29" s="8">
        <f>IF(OR(C29="",$B$13=0),"",C29/$B$13)</f>
        <v/>
      </c>
    </row>
    <row r="30">
      <c r="A30" s="4" t="n"/>
      <c r="B30" s="6" t="n"/>
      <c r="C30" s="6" t="n"/>
      <c r="D30" s="7">
        <f>IF(AND(B30="",C30=""),"",B30-C30)</f>
        <v/>
      </c>
      <c r="E30" s="8">
        <f>IF(OR(C30="",$B$13=0),"",C30/$B$13)</f>
        <v/>
      </c>
    </row>
    <row r="31">
      <c r="A31" s="4" t="n"/>
      <c r="B31" s="6" t="n"/>
      <c r="C31" s="6" t="n"/>
      <c r="D31" s="7">
        <f>IF(AND(B31="",C31=""),"",B31-C31)</f>
        <v/>
      </c>
      <c r="E31" s="8">
        <f>IF(OR(C31="",$B$13=0),"",C31/$B$13)</f>
        <v/>
      </c>
    </row>
    <row r="32">
      <c r="A32" s="4" t="n"/>
      <c r="B32" s="6" t="n"/>
      <c r="C32" s="6" t="n"/>
      <c r="D32" s="7">
        <f>IF(AND(B32="",C32=""),"",B32-C32)</f>
        <v/>
      </c>
      <c r="E32" s="8">
        <f>IF(OR(C32="",$B$13=0),"",C32/$B$13)</f>
        <v/>
      </c>
    </row>
    <row r="33">
      <c r="A33" s="4" t="n"/>
      <c r="B33" s="6" t="n"/>
      <c r="C33" s="6" t="n"/>
      <c r="D33" s="7">
        <f>IF(AND(B33="",C33=""),"",B33-C33)</f>
        <v/>
      </c>
      <c r="E33" s="8">
        <f>IF(OR(C33="",$B$13=0),"",C33/$B$13)</f>
        <v/>
      </c>
    </row>
    <row r="34">
      <c r="A34" s="4" t="n"/>
      <c r="B34" s="6" t="n"/>
      <c r="C34" s="6" t="n"/>
      <c r="D34" s="7">
        <f>IF(AND(B34="",C34=""),"",B34-C34)</f>
        <v/>
      </c>
      <c r="E34" s="8">
        <f>IF(OR(C34="",$B$13=0),"",C34/$B$13)</f>
        <v/>
      </c>
    </row>
    <row r="35">
      <c r="A35" s="4" t="n"/>
      <c r="B35" s="6" t="n"/>
      <c r="C35" s="6" t="n"/>
      <c r="D35" s="7">
        <f>IF(AND(B35="",C35=""),"",B35-C35)</f>
        <v/>
      </c>
      <c r="E35" s="8">
        <f>IF(OR(C35="",$B$13=0),"",C35/$B$13)</f>
        <v/>
      </c>
    </row>
    <row r="36">
      <c r="A36" s="2" t="inlineStr">
        <is>
          <t>Total expenses</t>
        </is>
      </c>
      <c r="B36" s="10">
        <f>SUM(B16:B35)</f>
        <v/>
      </c>
      <c r="C36" s="10">
        <f>SUM(C16:C35)</f>
        <v/>
      </c>
      <c r="D36" s="10">
        <f>SUM(D16:D35)</f>
        <v/>
      </c>
      <c r="E36" s="11">
        <f>IF($B$13=0,"",C36/$B$13)</f>
        <v/>
      </c>
    </row>
  </sheetData>
  <conditionalFormatting sqref="D16:D35">
    <cfRule type="cellIs" priority="1" operator="lessThan" dxfId="0">
      <formula>0</formula>
    </cfRule>
  </conditionalFormatting>
  <conditionalFormatting sqref="H7:I7"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12" customWidth="1" min="11" max="11"/>
  </cols>
  <sheetData>
    <row r="1">
      <c r="A1" s="1" t="inlineStr">
        <is>
          <t>Debt Payoff Calculator</t>
        </is>
      </c>
    </row>
    <row r="2">
      <c r="A2" s="12" t="inlineStr">
        <is>
          <t>Enter each debt. Add an extra monthly payment to see months and interest saved.</t>
        </is>
      </c>
    </row>
    <row r="4" ht="32" customHeight="1">
      <c r="A4" s="5" t="inlineStr">
        <is>
          <t>Debt</t>
        </is>
      </c>
      <c r="B4" s="5" t="inlineStr">
        <is>
          <t>Balance ($)</t>
        </is>
      </c>
      <c r="C4" s="5" t="inlineStr">
        <is>
          <t>APR</t>
        </is>
      </c>
      <c r="D4" s="5" t="inlineStr">
        <is>
          <t>Minimum payment ($)</t>
        </is>
      </c>
      <c r="E4" s="5" t="inlineStr">
        <is>
          <t>Extra payment ($)</t>
        </is>
      </c>
      <c r="F4" s="5" t="inlineStr">
        <is>
          <t>Months (minimum only)</t>
        </is>
      </c>
      <c r="G4" s="5" t="inlineStr">
        <is>
          <t>Interest (minimum only)</t>
        </is>
      </c>
      <c r="H4" s="5" t="inlineStr">
        <is>
          <t>Months (with extra)</t>
        </is>
      </c>
      <c r="I4" s="5" t="inlineStr">
        <is>
          <t>Interest (with extra)</t>
        </is>
      </c>
      <c r="J4" s="5" t="inlineStr">
        <is>
          <t>Interest saved ($)</t>
        </is>
      </c>
      <c r="K4" s="5" t="inlineStr">
        <is>
          <t>Months saved</t>
        </is>
      </c>
    </row>
    <row r="5">
      <c r="A5" s="4" t="inlineStr">
        <is>
          <t>Credit card (example)</t>
        </is>
      </c>
      <c r="B5" s="6" t="n">
        <v>4200</v>
      </c>
      <c r="C5" s="13" t="n">
        <v>0.2299</v>
      </c>
      <c r="D5" s="6" t="n">
        <v>120</v>
      </c>
      <c r="E5" s="6" t="n">
        <v>100</v>
      </c>
      <c r="F5" s="14">
        <f>IF(B5="","",IF(D5&lt;=B5*C5/12,"Payment too low",IF(C5=0,CEILING(B5/D5,1),CEILING(NPER(C5/12,-D5,B5),1))))</f>
        <v/>
      </c>
      <c r="G5" s="7">
        <f>IF(OR(B5="",ISTEXT(F5)),"",IF(C5=0,0,NPER(C5/12,-D5,B5)*D5-B5))</f>
        <v/>
      </c>
      <c r="H5" s="14">
        <f>IF(B5="","",IF((D5+N(E5))&lt;=B5*C5/12,"Payment too low",IF(C5=0,CEILING(B5/(D5+N(E5)),1),CEILING(NPER(C5/12,-(D5+N(E5)),B5),1))))</f>
        <v/>
      </c>
      <c r="I5" s="7">
        <f>IF(OR(B5="",ISTEXT(H5)),"",IF(C5=0,0,NPER(C5/12,-(D5+N(E5)),B5)*(D5+N(E5))-B5))</f>
        <v/>
      </c>
      <c r="J5" s="7">
        <f>IF(OR(G5="",I5=""),"",G5-I5)</f>
        <v/>
      </c>
      <c r="K5" s="14">
        <f>IF(OR(ISTEXT(F5),ISTEXT(H5),F5="",H5=""),"",F5-H5)</f>
        <v/>
      </c>
    </row>
    <row r="6">
      <c r="A6" s="4" t="inlineStr">
        <is>
          <t>Car loan (example)</t>
        </is>
      </c>
      <c r="B6" s="6" t="n">
        <v>9500</v>
      </c>
      <c r="C6" s="13" t="n">
        <v>0.06900000000000001</v>
      </c>
      <c r="D6" s="6" t="n">
        <v>290</v>
      </c>
      <c r="E6" s="6" t="n">
        <v>0</v>
      </c>
      <c r="F6" s="14">
        <f>IF(B6="","",IF(D6&lt;=B6*C6/12,"Payment too low",IF(C6=0,CEILING(B6/D6,1),CEILING(NPER(C6/12,-D6,B6),1))))</f>
        <v/>
      </c>
      <c r="G6" s="7">
        <f>IF(OR(B6="",ISTEXT(F6)),"",IF(C6=0,0,NPER(C6/12,-D6,B6)*D6-B6))</f>
        <v/>
      </c>
      <c r="H6" s="14">
        <f>IF(B6="","",IF((D6+N(E6))&lt;=B6*C6/12,"Payment too low",IF(C6=0,CEILING(B6/(D6+N(E6)),1),CEILING(NPER(C6/12,-(D6+N(E6)),B6),1))))</f>
        <v/>
      </c>
      <c r="I6" s="7">
        <f>IF(OR(B6="",ISTEXT(H6)),"",IF(C6=0,0,NPER(C6/12,-(D6+N(E6)),B6)*(D6+N(E6))-B6))</f>
        <v/>
      </c>
      <c r="J6" s="7">
        <f>IF(OR(G6="",I6=""),"",G6-I6)</f>
        <v/>
      </c>
      <c r="K6" s="14">
        <f>IF(OR(ISTEXT(F6),ISTEXT(H6),F6="",H6=""),"",F6-H6)</f>
        <v/>
      </c>
    </row>
    <row r="7">
      <c r="A7" s="4" t="inlineStr">
        <is>
          <t>Student loan (example)</t>
        </is>
      </c>
      <c r="B7" s="6" t="n">
        <v>18000</v>
      </c>
      <c r="C7" s="13" t="n">
        <v>0.055</v>
      </c>
      <c r="D7" s="6" t="n">
        <v>200</v>
      </c>
      <c r="E7" s="6" t="n">
        <v>50</v>
      </c>
      <c r="F7" s="14">
        <f>IF(B7="","",IF(D7&lt;=B7*C7/12,"Payment too low",IF(C7=0,CEILING(B7/D7,1),CEILING(NPER(C7/12,-D7,B7),1))))</f>
        <v/>
      </c>
      <c r="G7" s="7">
        <f>IF(OR(B7="",ISTEXT(F7)),"",IF(C7=0,0,NPER(C7/12,-D7,B7)*D7-B7))</f>
        <v/>
      </c>
      <c r="H7" s="14">
        <f>IF(B7="","",IF((D7+N(E7))&lt;=B7*C7/12,"Payment too low",IF(C7=0,CEILING(B7/(D7+N(E7)),1),CEILING(NPER(C7/12,-(D7+N(E7)),B7),1))))</f>
        <v/>
      </c>
      <c r="I7" s="7">
        <f>IF(OR(B7="",ISTEXT(H7)),"",IF(C7=0,0,NPER(C7/12,-(D7+N(E7)),B7)*(D7+N(E7))-B7))</f>
        <v/>
      </c>
      <c r="J7" s="7">
        <f>IF(OR(G7="",I7=""),"",G7-I7)</f>
        <v/>
      </c>
      <c r="K7" s="14">
        <f>IF(OR(ISTEXT(F7),ISTEXT(H7),F7="",H7=""),"",F7-H7)</f>
        <v/>
      </c>
    </row>
    <row r="8">
      <c r="A8" s="4" t="n"/>
      <c r="B8" s="6" t="n"/>
      <c r="C8" s="13" t="n"/>
      <c r="D8" s="6" t="n"/>
      <c r="E8" s="6" t="n"/>
      <c r="F8" s="14">
        <f>IF(B8="","",IF(D8&lt;=B8*C8/12,"Payment too low",IF(C8=0,CEILING(B8/D8,1),CEILING(NPER(C8/12,-D8,B8),1))))</f>
        <v/>
      </c>
      <c r="G8" s="7">
        <f>IF(OR(B8="",ISTEXT(F8)),"",IF(C8=0,0,NPER(C8/12,-D8,B8)*D8-B8))</f>
        <v/>
      </c>
      <c r="H8" s="14">
        <f>IF(B8="","",IF((D8+N(E8))&lt;=B8*C8/12,"Payment too low",IF(C8=0,CEILING(B8/(D8+N(E8)),1),CEILING(NPER(C8/12,-(D8+N(E8)),B8),1))))</f>
        <v/>
      </c>
      <c r="I8" s="7">
        <f>IF(OR(B8="",ISTEXT(H8)),"",IF(C8=0,0,NPER(C8/12,-(D8+N(E8)),B8)*(D8+N(E8))-B8))</f>
        <v/>
      </c>
      <c r="J8" s="7">
        <f>IF(OR(G8="",I8=""),"",G8-I8)</f>
        <v/>
      </c>
      <c r="K8" s="14">
        <f>IF(OR(ISTEXT(F8),ISTEXT(H8),F8="",H8=""),"",F8-H8)</f>
        <v/>
      </c>
    </row>
    <row r="9">
      <c r="A9" s="4" t="n"/>
      <c r="B9" s="6" t="n"/>
      <c r="C9" s="13" t="n"/>
      <c r="D9" s="6" t="n"/>
      <c r="E9" s="6" t="n"/>
      <c r="F9" s="14">
        <f>IF(B9="","",IF(D9&lt;=B9*C9/12,"Payment too low",IF(C9=0,CEILING(B9/D9,1),CEILING(NPER(C9/12,-D9,B9),1))))</f>
        <v/>
      </c>
      <c r="G9" s="7">
        <f>IF(OR(B9="",ISTEXT(F9)),"",IF(C9=0,0,NPER(C9/12,-D9,B9)*D9-B9))</f>
        <v/>
      </c>
      <c r="H9" s="14">
        <f>IF(B9="","",IF((D9+N(E9))&lt;=B9*C9/12,"Payment too low",IF(C9=0,CEILING(B9/(D9+N(E9)),1),CEILING(NPER(C9/12,-(D9+N(E9)),B9),1))))</f>
        <v/>
      </c>
      <c r="I9" s="7">
        <f>IF(OR(B9="",ISTEXT(H9)),"",IF(C9=0,0,NPER(C9/12,-(D9+N(E9)),B9)*(D9+N(E9))-B9))</f>
        <v/>
      </c>
      <c r="J9" s="7">
        <f>IF(OR(G9="",I9=""),"",G9-I9)</f>
        <v/>
      </c>
      <c r="K9" s="14">
        <f>IF(OR(ISTEXT(F9),ISTEXT(H9),F9="",H9=""),"",F9-H9)</f>
        <v/>
      </c>
    </row>
    <row r="10">
      <c r="A10" s="4" t="n"/>
      <c r="B10" s="6" t="n"/>
      <c r="C10" s="13" t="n"/>
      <c r="D10" s="6" t="n"/>
      <c r="E10" s="6" t="n"/>
      <c r="F10" s="14">
        <f>IF(B10="","",IF(D10&lt;=B10*C10/12,"Payment too low",IF(C10=0,CEILING(B10/D10,1),CEILING(NPER(C10/12,-D10,B10),1))))</f>
        <v/>
      </c>
      <c r="G10" s="7">
        <f>IF(OR(B10="",ISTEXT(F10)),"",IF(C10=0,0,NPER(C10/12,-D10,B10)*D10-B10))</f>
        <v/>
      </c>
      <c r="H10" s="14">
        <f>IF(B10="","",IF((D10+N(E10))&lt;=B10*C10/12,"Payment too low",IF(C10=0,CEILING(B10/(D10+N(E10)),1),CEILING(NPER(C10/12,-(D10+N(E10)),B10),1))))</f>
        <v/>
      </c>
      <c r="I10" s="7">
        <f>IF(OR(B10="",ISTEXT(H10)),"",IF(C10=0,0,NPER(C10/12,-(D10+N(E10)),B10)*(D10+N(E10))-B10))</f>
        <v/>
      </c>
      <c r="J10" s="7">
        <f>IF(OR(G10="",I10=""),"",G10-I10)</f>
        <v/>
      </c>
      <c r="K10" s="14">
        <f>IF(OR(ISTEXT(F10),ISTEXT(H10),F10="",H10=""),"",F10-H10)</f>
        <v/>
      </c>
    </row>
    <row r="11">
      <c r="A11" s="4" t="n"/>
      <c r="B11" s="6" t="n"/>
      <c r="C11" s="13" t="n"/>
      <c r="D11" s="6" t="n"/>
      <c r="E11" s="6" t="n"/>
      <c r="F11" s="14">
        <f>IF(B11="","",IF(D11&lt;=B11*C11/12,"Payment too low",IF(C11=0,CEILING(B11/D11,1),CEILING(NPER(C11/12,-D11,B11),1))))</f>
        <v/>
      </c>
      <c r="G11" s="7">
        <f>IF(OR(B11="",ISTEXT(F11)),"",IF(C11=0,0,NPER(C11/12,-D11,B11)*D11-B11))</f>
        <v/>
      </c>
      <c r="H11" s="14">
        <f>IF(B11="","",IF((D11+N(E11))&lt;=B11*C11/12,"Payment too low",IF(C11=0,CEILING(B11/(D11+N(E11)),1),CEILING(NPER(C11/12,-(D11+N(E11)),B11),1))))</f>
        <v/>
      </c>
      <c r="I11" s="7">
        <f>IF(OR(B11="",ISTEXT(H11)),"",IF(C11=0,0,NPER(C11/12,-(D11+N(E11)),B11)*(D11+N(E11))-B11))</f>
        <v/>
      </c>
      <c r="J11" s="7">
        <f>IF(OR(G11="",I11=""),"",G11-I11)</f>
        <v/>
      </c>
      <c r="K11" s="14">
        <f>IF(OR(ISTEXT(F11),ISTEXT(H11),F11="",H11=""),"",F11-H11)</f>
        <v/>
      </c>
    </row>
    <row r="12">
      <c r="A12" s="4" t="n"/>
      <c r="B12" s="6" t="n"/>
      <c r="C12" s="13" t="n"/>
      <c r="D12" s="6" t="n"/>
      <c r="E12" s="6" t="n"/>
      <c r="F12" s="14">
        <f>IF(B12="","",IF(D12&lt;=B12*C12/12,"Payment too low",IF(C12=0,CEILING(B12/D12,1),CEILING(NPER(C12/12,-D12,B12),1))))</f>
        <v/>
      </c>
      <c r="G12" s="7">
        <f>IF(OR(B12="",ISTEXT(F12)),"",IF(C12=0,0,NPER(C12/12,-D12,B12)*D12-B12))</f>
        <v/>
      </c>
      <c r="H12" s="14">
        <f>IF(B12="","",IF((D12+N(E12))&lt;=B12*C12/12,"Payment too low",IF(C12=0,CEILING(B12/(D12+N(E12)),1),CEILING(NPER(C12/12,-(D12+N(E12)),B12),1))))</f>
        <v/>
      </c>
      <c r="I12" s="7">
        <f>IF(OR(B12="",ISTEXT(H12)),"",IF(C12=0,0,NPER(C12/12,-(D12+N(E12)),B12)*(D12+N(E12))-B12))</f>
        <v/>
      </c>
      <c r="J12" s="7">
        <f>IF(OR(G12="",I12=""),"",G12-I12)</f>
        <v/>
      </c>
      <c r="K12" s="14">
        <f>IF(OR(ISTEXT(F12),ISTEXT(H12),F12="",H12=""),"",F12-H12)</f>
        <v/>
      </c>
    </row>
    <row r="13">
      <c r="A13" s="4" t="n"/>
      <c r="B13" s="6" t="n"/>
      <c r="C13" s="13" t="n"/>
      <c r="D13" s="6" t="n"/>
      <c r="E13" s="6" t="n"/>
      <c r="F13" s="14">
        <f>IF(B13="","",IF(D13&lt;=B13*C13/12,"Payment too low",IF(C13=0,CEILING(B13/D13,1),CEILING(NPER(C13/12,-D13,B13),1))))</f>
        <v/>
      </c>
      <c r="G13" s="7">
        <f>IF(OR(B13="",ISTEXT(F13)),"",IF(C13=0,0,NPER(C13/12,-D13,B13)*D13-B13))</f>
        <v/>
      </c>
      <c r="H13" s="14">
        <f>IF(B13="","",IF((D13+N(E13))&lt;=B13*C13/12,"Payment too low",IF(C13=0,CEILING(B13/(D13+N(E13)),1),CEILING(NPER(C13/12,-(D13+N(E13)),B13),1))))</f>
        <v/>
      </c>
      <c r="I13" s="7">
        <f>IF(OR(B13="",ISTEXT(H13)),"",IF(C13=0,0,NPER(C13/12,-(D13+N(E13)),B13)*(D13+N(E13))-B13))</f>
        <v/>
      </c>
      <c r="J13" s="7">
        <f>IF(OR(G13="",I13=""),"",G13-I13)</f>
        <v/>
      </c>
      <c r="K13" s="14">
        <f>IF(OR(ISTEXT(F13),ISTEXT(H13),F13="",H13=""),"",F13-H13)</f>
        <v/>
      </c>
    </row>
    <row r="14">
      <c r="A14" s="4" t="n"/>
      <c r="B14" s="6" t="n"/>
      <c r="C14" s="13" t="n"/>
      <c r="D14" s="6" t="n"/>
      <c r="E14" s="6" t="n"/>
      <c r="F14" s="14">
        <f>IF(B14="","",IF(D14&lt;=B14*C14/12,"Payment too low",IF(C14=0,CEILING(B14/D14,1),CEILING(NPER(C14/12,-D14,B14),1))))</f>
        <v/>
      </c>
      <c r="G14" s="7">
        <f>IF(OR(B14="",ISTEXT(F14)),"",IF(C14=0,0,NPER(C14/12,-D14,B14)*D14-B14))</f>
        <v/>
      </c>
      <c r="H14" s="14">
        <f>IF(B14="","",IF((D14+N(E14))&lt;=B14*C14/12,"Payment too low",IF(C14=0,CEILING(B14/(D14+N(E14)),1),CEILING(NPER(C14/12,-(D14+N(E14)),B14),1))))</f>
        <v/>
      </c>
      <c r="I14" s="7">
        <f>IF(OR(B14="",ISTEXT(H14)),"",IF(C14=0,0,NPER(C14/12,-(D14+N(E14)),B14)*(D14+N(E14))-B14))</f>
        <v/>
      </c>
      <c r="J14" s="7">
        <f>IF(OR(G14="",I14=""),"",G14-I14)</f>
        <v/>
      </c>
      <c r="K14" s="14">
        <f>IF(OR(ISTEXT(F14),ISTEXT(H14),F14="",H14=""),"",F14-H14)</f>
        <v/>
      </c>
    </row>
    <row r="15">
      <c r="A15" s="2" t="inlineStr">
        <is>
          <t>Totals</t>
        </is>
      </c>
      <c r="B15" s="10">
        <f>SUM(B5:B14)</f>
        <v/>
      </c>
      <c r="D15" s="10">
        <f>SUM(D5:D14)</f>
        <v/>
      </c>
      <c r="E15" s="10">
        <f>SUM(E5:E14)</f>
        <v/>
      </c>
      <c r="F15" s="15">
        <f>MAX(F5:F14)</f>
        <v/>
      </c>
      <c r="G15" s="10">
        <f>SUM(G5:G14)</f>
        <v/>
      </c>
      <c r="H15" s="15">
        <f>MAX(H5:H14)</f>
        <v/>
      </c>
      <c r="I15" s="10">
        <f>SUM(I5:I14)</f>
        <v/>
      </c>
      <c r="J15" s="10">
        <f>SUM(J5:J14)</f>
        <v/>
      </c>
    </row>
    <row r="17">
      <c r="A17" s="9" t="inlineStr">
        <is>
          <t>Totals for months show the longest payoff. Interest figures are exact for a fixed payment and fixed APR, compounded monthly.</t>
        </is>
      </c>
    </row>
  </sheetData>
  <conditionalFormatting sqref="J5:J14">
    <cfRule type="dataBar" priority="1">
      <dataBar>
        <cfvo type="min"/>
        <cfvo type="max"/>
        <color rgb="004CAF50"/>
      </dataBar>
    </cfRule>
  </conditionalFormatting>
  <dataValidations count="1">
    <dataValidation sqref="C5:C14" showDropDown="0" showInputMessage="0" showErrorMessage="1" allowBlank="0" error="Enter APR as a percentage, e.g. 19.99%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5" customWidth="1" min="3" max="3"/>
    <col width="16" customWidth="1" min="4" max="4"/>
    <col width="14" customWidth="1" min="5" max="5"/>
    <col width="12" customWidth="1" min="6" max="6"/>
    <col width="13" customWidth="1" min="7" max="7"/>
    <col width="16" customWidth="1" min="8" max="8"/>
  </cols>
  <sheetData>
    <row r="1">
      <c r="A1" s="1" t="inlineStr">
        <is>
          <t>Savings Goals</t>
        </is>
      </c>
    </row>
    <row r="3" ht="32" customHeight="1">
      <c r="A3" s="5" t="inlineStr">
        <is>
          <t>Goal</t>
        </is>
      </c>
      <c r="B3" s="5" t="inlineStr">
        <is>
          <t>Target ($)</t>
        </is>
      </c>
      <c r="C3" s="5" t="inlineStr">
        <is>
          <t>Saved so far ($)</t>
        </is>
      </c>
      <c r="D3" s="5" t="inlineStr">
        <is>
          <t>Monthly contribution ($)</t>
        </is>
      </c>
      <c r="E3" s="5" t="inlineStr">
        <is>
          <t>Remaining ($)</t>
        </is>
      </c>
      <c r="F3" s="5" t="inlineStr">
        <is>
          <t>% complete</t>
        </is>
      </c>
      <c r="G3" s="5" t="inlineStr">
        <is>
          <t>Months to go</t>
        </is>
      </c>
      <c r="H3" s="5" t="inlineStr">
        <is>
          <t>Estimated finish</t>
        </is>
      </c>
    </row>
    <row r="4">
      <c r="A4" s="4" t="inlineStr">
        <is>
          <t>Emergency fund (example)</t>
        </is>
      </c>
      <c r="B4" s="6" t="n">
        <v>10000</v>
      </c>
      <c r="C4" s="6" t="n">
        <v>2500</v>
      </c>
      <c r="D4" s="6" t="n">
        <v>400</v>
      </c>
      <c r="E4" s="7">
        <f>IF(B4="","",MAX(0,B4-N(C4)))</f>
        <v/>
      </c>
      <c r="F4" s="16">
        <f>IF(OR(B4="",B4=0),"",MIN(1,N(C4)/B4))</f>
        <v/>
      </c>
      <c r="G4" s="14">
        <f>IF(E4="","",IF(E4=0,0,IF(N(D4)&lt;=0,"Add a contribution",CEILING(E4/D4,1))))</f>
        <v/>
      </c>
      <c r="H4" s="17">
        <f>IF(OR(G4="",ISTEXT(G4)),"",EDATE(TODAY(),G4))</f>
        <v/>
      </c>
    </row>
    <row r="5">
      <c r="A5" s="4" t="inlineStr">
        <is>
          <t>Vacation (example)</t>
        </is>
      </c>
      <c r="B5" s="6" t="n">
        <v>3000</v>
      </c>
      <c r="C5" s="6" t="n">
        <v>600</v>
      </c>
      <c r="D5" s="6" t="n">
        <v>150</v>
      </c>
      <c r="E5" s="7">
        <f>IF(B5="","",MAX(0,B5-N(C5)))</f>
        <v/>
      </c>
      <c r="F5" s="16">
        <f>IF(OR(B5="",B5=0),"",MIN(1,N(C5)/B5))</f>
        <v/>
      </c>
      <c r="G5" s="14">
        <f>IF(E5="","",IF(E5=0,0,IF(N(D5)&lt;=0,"Add a contribution",CEILING(E5/D5,1))))</f>
        <v/>
      </c>
      <c r="H5" s="17">
        <f>IF(OR(G5="",ISTEXT(G5)),"",EDATE(TODAY(),G5))</f>
        <v/>
      </c>
    </row>
    <row r="6">
      <c r="A6" s="4" t="n"/>
      <c r="B6" s="6" t="n"/>
      <c r="C6" s="6" t="n"/>
      <c r="D6" s="6" t="n"/>
      <c r="E6" s="7">
        <f>IF(B6="","",MAX(0,B6-N(C6)))</f>
        <v/>
      </c>
      <c r="F6" s="16">
        <f>IF(OR(B6="",B6=0),"",MIN(1,N(C6)/B6))</f>
        <v/>
      </c>
      <c r="G6" s="14">
        <f>IF(E6="","",IF(E6=0,0,IF(N(D6)&lt;=0,"Add a contribution",CEILING(E6/D6,1))))</f>
        <v/>
      </c>
      <c r="H6" s="17">
        <f>IF(OR(G6="",ISTEXT(G6)),"",EDATE(TODAY(),G6))</f>
        <v/>
      </c>
    </row>
    <row r="7">
      <c r="A7" s="4" t="n"/>
      <c r="B7" s="6" t="n"/>
      <c r="C7" s="6" t="n"/>
      <c r="D7" s="6" t="n"/>
      <c r="E7" s="7">
        <f>IF(B7="","",MAX(0,B7-N(C7)))</f>
        <v/>
      </c>
      <c r="F7" s="16">
        <f>IF(OR(B7="",B7=0),"",MIN(1,N(C7)/B7))</f>
        <v/>
      </c>
      <c r="G7" s="14">
        <f>IF(E7="","",IF(E7=0,0,IF(N(D7)&lt;=0,"Add a contribution",CEILING(E7/D7,1))))</f>
        <v/>
      </c>
      <c r="H7" s="17">
        <f>IF(OR(G7="",ISTEXT(G7)),"",EDATE(TODAY(),G7))</f>
        <v/>
      </c>
    </row>
    <row r="8">
      <c r="A8" s="4" t="n"/>
      <c r="B8" s="6" t="n"/>
      <c r="C8" s="6" t="n"/>
      <c r="D8" s="6" t="n"/>
      <c r="E8" s="7">
        <f>IF(B8="","",MAX(0,B8-N(C8)))</f>
        <v/>
      </c>
      <c r="F8" s="16">
        <f>IF(OR(B8="",B8=0),"",MIN(1,N(C8)/B8))</f>
        <v/>
      </c>
      <c r="G8" s="14">
        <f>IF(E8="","",IF(E8=0,0,IF(N(D8)&lt;=0,"Add a contribution",CEILING(E8/D8,1))))</f>
        <v/>
      </c>
      <c r="H8" s="17">
        <f>IF(OR(G8="",ISTEXT(G8)),"",EDATE(TODAY(),G8))</f>
        <v/>
      </c>
    </row>
    <row r="9">
      <c r="A9" s="4" t="n"/>
      <c r="B9" s="6" t="n"/>
      <c r="C9" s="6" t="n"/>
      <c r="D9" s="6" t="n"/>
      <c r="E9" s="7">
        <f>IF(B9="","",MAX(0,B9-N(C9)))</f>
        <v/>
      </c>
      <c r="F9" s="16">
        <f>IF(OR(B9="",B9=0),"",MIN(1,N(C9)/B9))</f>
        <v/>
      </c>
      <c r="G9" s="14">
        <f>IF(E9="","",IF(E9=0,0,IF(N(D9)&lt;=0,"Add a contribution",CEILING(E9/D9,1))))</f>
        <v/>
      </c>
      <c r="H9" s="17">
        <f>IF(OR(G9="",ISTEXT(G9)),"",EDATE(TODAY(),G9))</f>
        <v/>
      </c>
    </row>
    <row r="10">
      <c r="A10" s="4" t="n"/>
      <c r="B10" s="6" t="n"/>
      <c r="C10" s="6" t="n"/>
      <c r="D10" s="6" t="n"/>
      <c r="E10" s="7">
        <f>IF(B10="","",MAX(0,B10-N(C10)))</f>
        <v/>
      </c>
      <c r="F10" s="16">
        <f>IF(OR(B10="",B10=0),"",MIN(1,N(C10)/B10))</f>
        <v/>
      </c>
      <c r="G10" s="14">
        <f>IF(E10="","",IF(E10=0,0,IF(N(D10)&lt;=0,"Add a contribution",CEILING(E10/D10,1))))</f>
        <v/>
      </c>
      <c r="H10" s="17">
        <f>IF(OR(G10="",ISTEXT(G10)),"",EDATE(TODAY(),G10))</f>
        <v/>
      </c>
    </row>
    <row r="11">
      <c r="A11" s="4" t="n"/>
      <c r="B11" s="6" t="n"/>
      <c r="C11" s="6" t="n"/>
      <c r="D11" s="6" t="n"/>
      <c r="E11" s="7">
        <f>IF(B11="","",MAX(0,B11-N(C11)))</f>
        <v/>
      </c>
      <c r="F11" s="16">
        <f>IF(OR(B11="",B11=0),"",MIN(1,N(C11)/B11))</f>
        <v/>
      </c>
      <c r="G11" s="14">
        <f>IF(E11="","",IF(E11=0,0,IF(N(D11)&lt;=0,"Add a contribution",CEILING(E11/D11,1))))</f>
        <v/>
      </c>
      <c r="H11" s="17">
        <f>IF(OR(G11="",ISTEXT(G11)),"",EDATE(TODAY(),G11))</f>
        <v/>
      </c>
    </row>
    <row r="12">
      <c r="A12" s="4" t="n"/>
      <c r="B12" s="6" t="n"/>
      <c r="C12" s="6" t="n"/>
      <c r="D12" s="6" t="n"/>
      <c r="E12" s="7">
        <f>IF(B12="","",MAX(0,B12-N(C12)))</f>
        <v/>
      </c>
      <c r="F12" s="16">
        <f>IF(OR(B12="",B12=0),"",MIN(1,N(C12)/B12))</f>
        <v/>
      </c>
      <c r="G12" s="14">
        <f>IF(E12="","",IF(E12=0,0,IF(N(D12)&lt;=0,"Add a contribution",CEILING(E12/D12,1))))</f>
        <v/>
      </c>
      <c r="H12" s="17">
        <f>IF(OR(G12="",ISTEXT(G12)),"",EDATE(TODAY(),G12))</f>
        <v/>
      </c>
    </row>
    <row r="13">
      <c r="A13" s="4" t="n"/>
      <c r="B13" s="6" t="n"/>
      <c r="C13" s="6" t="n"/>
      <c r="D13" s="6" t="n"/>
      <c r="E13" s="7">
        <f>IF(B13="","",MAX(0,B13-N(C13)))</f>
        <v/>
      </c>
      <c r="F13" s="16">
        <f>IF(OR(B13="",B13=0),"",MIN(1,N(C13)/B13))</f>
        <v/>
      </c>
      <c r="G13" s="14">
        <f>IF(E13="","",IF(E13=0,0,IF(N(D13)&lt;=0,"Add a contribution",CEILING(E13/D13,1))))</f>
        <v/>
      </c>
      <c r="H13" s="17">
        <f>IF(OR(G13="",ISTEXT(G13)),"",EDATE(TODAY(),G13))</f>
        <v/>
      </c>
    </row>
  </sheetData>
  <conditionalFormatting sqref="F4:F13">
    <cfRule type="dataBar" priority="1">
      <dataBar>
        <cfvo type="num" val="0"/>
        <cfvo type="num" val="1"/>
        <color rgb="004C8BF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2026-09-22T21:37:32Z</dcterms:created>
  <dcterms:modified xsi:type="dcterms:W3CDTF">2026-09-22T21:37:32Z</dcterms:modified>
</cp:coreProperties>
</file>